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60fa9bbf33bcfc/Desktop/"/>
    </mc:Choice>
  </mc:AlternateContent>
  <xr:revisionPtr revIDLastSave="0" documentId="8_{FFA36C58-4BE3-4B96-8A7F-E554D94F6E9F}" xr6:coauthVersionLast="47" xr6:coauthVersionMax="47" xr10:uidLastSave="{00000000-0000-0000-0000-000000000000}"/>
  <bookViews>
    <workbookView xWindow="28680" yWindow="-120" windowWidth="29040" windowHeight="15720" firstSheet="1" activeTab="6" xr2:uid="{8C83B264-B687-482F-825C-4F47D493A9C6}"/>
  </bookViews>
  <sheets>
    <sheet name="Company Profile" sheetId="1" r:id="rId1"/>
    <sheet name="Vendor Assessment" sheetId="2" r:id="rId2"/>
    <sheet name="Control Matrix IT" sheetId="3" r:id="rId3"/>
    <sheet name="Control Matrix OT" sheetId="4" r:id="rId4"/>
    <sheet name="Risk Register" sheetId="5" r:id="rId5"/>
    <sheet name="Policy Exception Log" sheetId="6" r:id="rId6"/>
    <sheet name="Remediation Roadma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5" l="1"/>
</calcChain>
</file>

<file path=xl/sharedStrings.xml><?xml version="1.0" encoding="utf-8"?>
<sst xmlns="http://schemas.openxmlformats.org/spreadsheetml/2006/main" count="431" uniqueCount="285">
  <si>
    <t>CASCADE HEALTH &amp; ENERGY SYSTEMS - COMPANY PROFILE</t>
  </si>
  <si>
    <t>Section: Org Overview</t>
  </si>
  <si>
    <t>Company Name</t>
  </si>
  <si>
    <t>Cascade Health &amp; Energy Systems</t>
  </si>
  <si>
    <t>Industry</t>
  </si>
  <si>
    <t>Healthcare / Critical Infrastructure (OT)</t>
  </si>
  <si>
    <t>Employees</t>
  </si>
  <si>
    <t>Locations</t>
  </si>
  <si>
    <t>3 hospital campuses, 1 data center</t>
  </si>
  <si>
    <t>EHR System</t>
  </si>
  <si>
    <t>Epic (Willow, Beacon, ASAP modules)</t>
  </si>
  <si>
    <t>OT Environment</t>
  </si>
  <si>
    <t>BAS, Medical Gas SCADA, Power Management</t>
  </si>
  <si>
    <t>Regulatory Scope</t>
  </si>
  <si>
    <t>HIPAA, ISO 27001, NIST 800-82, IEC 62443</t>
  </si>
  <si>
    <t>PHI Data Volume</t>
  </si>
  <si>
    <t>~1.2 million patient records</t>
  </si>
  <si>
    <t>IT/OT Network Status</t>
  </si>
  <si>
    <t>Partially segmented - shared vendor remote access</t>
  </si>
  <si>
    <t>Last Security Audit</t>
  </si>
  <si>
    <t>Section: Asset Inventory</t>
  </si>
  <si>
    <t xml:space="preserve">Asset Category </t>
  </si>
  <si>
    <t>Asset Name</t>
  </si>
  <si>
    <t>Environment</t>
  </si>
  <si>
    <t>Data Sensitivity</t>
  </si>
  <si>
    <t>Server</t>
  </si>
  <si>
    <t>IT</t>
  </si>
  <si>
    <t>18 months ago (findings unresolved)</t>
  </si>
  <si>
    <t>Epic EHR Database</t>
  </si>
  <si>
    <t>High PHI</t>
  </si>
  <si>
    <t>Workstation</t>
  </si>
  <si>
    <t>Nurse Station Laptops</t>
  </si>
  <si>
    <t>Medium</t>
  </si>
  <si>
    <t xml:space="preserve">Network </t>
  </si>
  <si>
    <t>Core Hospital Switch</t>
  </si>
  <si>
    <t xml:space="preserve">IT </t>
  </si>
  <si>
    <t>High</t>
  </si>
  <si>
    <t>OT Device</t>
  </si>
  <si>
    <t>HVAC Control PLC</t>
  </si>
  <si>
    <t xml:space="preserve">OT </t>
  </si>
  <si>
    <t>Medical Gas Monitoring System</t>
  </si>
  <si>
    <t xml:space="preserve">OT Device </t>
  </si>
  <si>
    <t>Power Management RTU</t>
  </si>
  <si>
    <t>IT/OT Shared Firewall</t>
  </si>
  <si>
    <t>IT/OT</t>
  </si>
  <si>
    <t xml:space="preserve">Critical </t>
  </si>
  <si>
    <t>Vendor Access</t>
  </si>
  <si>
    <t>Remote Support VPN(shared)</t>
  </si>
  <si>
    <t>High-Safety Critical</t>
  </si>
  <si>
    <t xml:space="preserve">High-Safety Critical </t>
  </si>
  <si>
    <t>CASCADE HEALTH &amp; ENERGY SYSTEMS - Vendor Assessment</t>
  </si>
  <si>
    <t>Section: Vendor Risk Assessment Log</t>
  </si>
  <si>
    <t>Section: Vendor Log</t>
  </si>
  <si>
    <t>Vendor ID</t>
  </si>
  <si>
    <t>Vendor Name</t>
  </si>
  <si>
    <t>Service Provided</t>
  </si>
  <si>
    <t>Data Access</t>
  </si>
  <si>
    <t>Assessment Date</t>
  </si>
  <si>
    <t>Risk Score</t>
  </si>
  <si>
    <t>Risk Level</t>
  </si>
  <si>
    <t>Status</t>
  </si>
  <si>
    <t>V-001</t>
  </si>
  <si>
    <t>Epic Systems</t>
  </si>
  <si>
    <t>EHR Platform</t>
  </si>
  <si>
    <t>PHI-High</t>
  </si>
  <si>
    <t>Active</t>
  </si>
  <si>
    <t>V-002</t>
  </si>
  <si>
    <t>Meditech</t>
  </si>
  <si>
    <t>Legacy System Migration</t>
  </si>
  <si>
    <t>PHI-Medium</t>
  </si>
  <si>
    <t>Under Review</t>
  </si>
  <si>
    <t>V-003</t>
  </si>
  <si>
    <t>Siemens Healthineers</t>
  </si>
  <si>
    <t>HVAC SCADA Integration</t>
  </si>
  <si>
    <t>V-004</t>
  </si>
  <si>
    <t xml:space="preserve">Microsoft Azure </t>
  </si>
  <si>
    <t>Cloud Infrastructure</t>
  </si>
  <si>
    <t xml:space="preserve">OT-Critical </t>
  </si>
  <si>
    <t>IT-High</t>
  </si>
  <si>
    <t>V-005</t>
  </si>
  <si>
    <t>Philips Healthcare</t>
  </si>
  <si>
    <t>Medical Device Integration</t>
  </si>
  <si>
    <t>OT-High</t>
  </si>
  <si>
    <t xml:space="preserve">V-006 </t>
  </si>
  <si>
    <t>Change Healthcare</t>
  </si>
  <si>
    <t>Claims Processing</t>
  </si>
  <si>
    <t xml:space="preserve">PHI-Critical </t>
  </si>
  <si>
    <t>Suspended</t>
  </si>
  <si>
    <t>CASCADE HEALTH &amp; ENERGY SYSTEMS - Control</t>
  </si>
  <si>
    <r>
      <rPr>
        <i/>
        <sz val="11"/>
        <color theme="1"/>
        <rFont val="Calibri"/>
        <family val="2"/>
        <scheme val="minor"/>
      </rPr>
      <t>Section: HIPAA + ISO 27001 Control Assessmen</t>
    </r>
    <r>
      <rPr>
        <sz val="11"/>
        <color theme="1"/>
        <rFont val="Calibri"/>
        <family val="2"/>
        <scheme val="minor"/>
      </rPr>
      <t>t</t>
    </r>
  </si>
  <si>
    <t>Section: IT Controls</t>
  </si>
  <si>
    <t>Control ID</t>
  </si>
  <si>
    <t>Framework</t>
  </si>
  <si>
    <t>Control Name</t>
  </si>
  <si>
    <t>Requirement Type</t>
  </si>
  <si>
    <t>Gap Identified</t>
  </si>
  <si>
    <t>Remediation Action</t>
  </si>
  <si>
    <t>HIPAA-001</t>
  </si>
  <si>
    <t>HIPAA</t>
  </si>
  <si>
    <t>Access Control - Unique User IDs</t>
  </si>
  <si>
    <t>Required</t>
  </si>
  <si>
    <t>Implemented</t>
  </si>
  <si>
    <t xml:space="preserve">No </t>
  </si>
  <si>
    <t>N/A</t>
  </si>
  <si>
    <t>HIPAA-002</t>
  </si>
  <si>
    <t>Automatic Logoff</t>
  </si>
  <si>
    <t xml:space="preserve">Addressable </t>
  </si>
  <si>
    <t>Partially Implemented</t>
  </si>
  <si>
    <t>Yes</t>
  </si>
  <si>
    <t>Configure 15- min timeout on all EHR workstations</t>
  </si>
  <si>
    <t>HIPAA-003</t>
  </si>
  <si>
    <t>Encryption of PHI at Rest</t>
  </si>
  <si>
    <t>HIPAA-004</t>
  </si>
  <si>
    <t>Audit Controls - Activity Logging</t>
  </si>
  <si>
    <t>Enable full audit logging in Epic for all PHI access</t>
  </si>
  <si>
    <t>HIPAA-005</t>
  </si>
  <si>
    <t>Workforce Security Training</t>
  </si>
  <si>
    <t xml:space="preserve">Not Implemented </t>
  </si>
  <si>
    <t xml:space="preserve">Yes </t>
  </si>
  <si>
    <t>Deploy annual security awareness training program</t>
  </si>
  <si>
    <t xml:space="preserve">ISO-001 </t>
  </si>
  <si>
    <t>ISO 27001</t>
  </si>
  <si>
    <t>Information Security Policies</t>
  </si>
  <si>
    <t>Annex A.5</t>
  </si>
  <si>
    <t>ISO-002</t>
  </si>
  <si>
    <t>Access Control Policy</t>
  </si>
  <si>
    <t>Review and update access control policy annually</t>
  </si>
  <si>
    <t>ISO-003</t>
  </si>
  <si>
    <t>Cryptography Policy</t>
  </si>
  <si>
    <t>Annex A.10</t>
  </si>
  <si>
    <t>Annex A.9</t>
  </si>
  <si>
    <t>ISO-004</t>
  </si>
  <si>
    <t>Supplier Relationships</t>
  </si>
  <si>
    <t>Annex A.15</t>
  </si>
  <si>
    <t>Implement vendor security review process</t>
  </si>
  <si>
    <t>ISO-005</t>
  </si>
  <si>
    <t>Incident Management</t>
  </si>
  <si>
    <t>Annex A.16</t>
  </si>
  <si>
    <t>Develop and test incident response plan</t>
  </si>
  <si>
    <t>Section: NIST 800-82 + IEC 62443 Control Assessment</t>
  </si>
  <si>
    <t>Section: OT Controls</t>
  </si>
  <si>
    <t>Security Level</t>
  </si>
  <si>
    <t xml:space="preserve">Status </t>
  </si>
  <si>
    <t>NIST-OT-001</t>
  </si>
  <si>
    <t>NIST 800-82</t>
  </si>
  <si>
    <t>OT Network Segmentation</t>
  </si>
  <si>
    <t>Implement dedicated OT network zone seperated from IT</t>
  </si>
  <si>
    <t>NIST-OT-002</t>
  </si>
  <si>
    <t>Remote Access Controls for OT</t>
  </si>
  <si>
    <t>Not Implemented</t>
  </si>
  <si>
    <t>Deploy jump server with MFA for all OT remote access</t>
  </si>
  <si>
    <t>NIST-OT-003</t>
  </si>
  <si>
    <t>OT Asset Inventory</t>
  </si>
  <si>
    <t>Complete full inventory of all PLCs and RTUs</t>
  </si>
  <si>
    <t>NIST-OT-004</t>
  </si>
  <si>
    <t>Patch Management for OT Devices</t>
  </si>
  <si>
    <t>Establish quarterly OT firmware patch cycle</t>
  </si>
  <si>
    <t>NIST-OT-005</t>
  </si>
  <si>
    <t>Physical Access to Control Systems</t>
  </si>
  <si>
    <t>No</t>
  </si>
  <si>
    <t>IEC-001</t>
  </si>
  <si>
    <t>IEC 62443</t>
  </si>
  <si>
    <t>Security Management System</t>
  </si>
  <si>
    <t>SL-2</t>
  </si>
  <si>
    <t>Develop OT-specific security policies and procedures</t>
  </si>
  <si>
    <t>IEC-002</t>
  </si>
  <si>
    <t>Access Control for Control Systems</t>
  </si>
  <si>
    <t>IEC-003</t>
  </si>
  <si>
    <t>OT Incident Response</t>
  </si>
  <si>
    <t>Develop OT-specific incident response procedures</t>
  </si>
  <si>
    <t>IEC-004</t>
  </si>
  <si>
    <t>Supply Chain Risk for OT Vendors</t>
  </si>
  <si>
    <t>SL-3</t>
  </si>
  <si>
    <t>Strengthen vendor security requirements for OT supplies</t>
  </si>
  <si>
    <t>IEC-005</t>
  </si>
  <si>
    <t>OT System Backup and Recovery</t>
  </si>
  <si>
    <t>CASCADE HEALTH &amp; ENERGY SYSTEMS - Control Maxtrix OT</t>
  </si>
  <si>
    <t>Implement role-based access control on all OT systems</t>
  </si>
  <si>
    <t>CASCADE HEALTH &amp; ENERGY SYSTEMS - Risk Register</t>
  </si>
  <si>
    <t>Section: Enterprise Risk Register - IT + OT Environment</t>
  </si>
  <si>
    <t>Section: Risk Register</t>
  </si>
  <si>
    <t>Risk ID</t>
  </si>
  <si>
    <t>Risk Description</t>
  </si>
  <si>
    <t>Likelihood (-15)</t>
  </si>
  <si>
    <t>Impact (1-5)</t>
  </si>
  <si>
    <t xml:space="preserve">Risk Score </t>
  </si>
  <si>
    <t>Owner</t>
  </si>
  <si>
    <t>Mitigation Action</t>
  </si>
  <si>
    <t>R-001</t>
  </si>
  <si>
    <t>Ransomeware spreads from IT into OT/SCADA systems</t>
  </si>
  <si>
    <t>CISO</t>
  </si>
  <si>
    <t>R-002</t>
  </si>
  <si>
    <t>Unauthorized vendor remote access to medical gas SCADA</t>
  </si>
  <si>
    <t>OT</t>
  </si>
  <si>
    <t>OT Security Manager</t>
  </si>
  <si>
    <t>R-003</t>
  </si>
  <si>
    <t>Unencrypted PHI transmitted between compuses</t>
  </si>
  <si>
    <t xml:space="preserve"> Network segmentation; EDR on all IT endpoints</t>
  </si>
  <si>
    <t>Implement jump server with MFA for all OT vendor access</t>
  </si>
  <si>
    <t>Enforce TLS 1.2 + on all inter-campus data transfers</t>
  </si>
  <si>
    <t>Deploy mandatory annual security awareness training</t>
  </si>
  <si>
    <t>Suspend access; conduct full vendor reassessment</t>
  </si>
  <si>
    <t>Develop and test OT incident response procedures</t>
  </si>
  <si>
    <t>Network Team</t>
  </si>
  <si>
    <t>R-004</t>
  </si>
  <si>
    <t>HVAC PLC firmware unpatched - known vulnerability</t>
  </si>
  <si>
    <t>Facilities IT</t>
  </si>
  <si>
    <t>R-005</t>
  </si>
  <si>
    <t>Shared IT/OT firewall misconfiguration</t>
  </si>
  <si>
    <t>Emergency patch cycle for all OT firmware</t>
  </si>
  <si>
    <t>Firewall rule; audit separate IT and OT firewall instances</t>
  </si>
  <si>
    <t>R-006</t>
  </si>
  <si>
    <t>Workforce lacks security awareness traingin</t>
  </si>
  <si>
    <t>HR/Security</t>
  </si>
  <si>
    <t>R-007</t>
  </si>
  <si>
    <t>Change Healthcare vendor breach exposes claims data</t>
  </si>
  <si>
    <t>Vendor Risk Team</t>
  </si>
  <si>
    <t>R-008</t>
  </si>
  <si>
    <t>No OT-specific incident response plan exists</t>
  </si>
  <si>
    <t>CASCADE HEALTH &amp; ENERGY SYSTEMS - Policy Exception log</t>
  </si>
  <si>
    <t>Section: Documented Policy Exceptions and Risk Acceptances</t>
  </si>
  <si>
    <t>Section: Exception Log</t>
  </si>
  <si>
    <t>Exception ID</t>
  </si>
  <si>
    <t xml:space="preserve">Policy/Control Violated </t>
  </si>
  <si>
    <t xml:space="preserve">System or Vendor </t>
  </si>
  <si>
    <t>Business Justification</t>
  </si>
  <si>
    <t xml:space="preserve">Approved By </t>
  </si>
  <si>
    <t>Approval Date</t>
  </si>
  <si>
    <t>Expiry Date</t>
  </si>
  <si>
    <t>EX-001</t>
  </si>
  <si>
    <t>Automatic Logoff HIPAA-002</t>
  </si>
  <si>
    <t>Legacy Radiology Workstations</t>
  </si>
  <si>
    <t>Workstations run 24/7 automated imaging workflows- logoff disrupts operations</t>
  </si>
  <si>
    <t>EX-002</t>
  </si>
  <si>
    <t>OT Remote Access Controls-NIST-OT-002</t>
  </si>
  <si>
    <t>Vendor requires direct OT access for emergency maintenance - jump server not yet deployed</t>
  </si>
  <si>
    <t>CIO</t>
  </si>
  <si>
    <t>EX-003</t>
  </si>
  <si>
    <t>Patch Management OT-NIST-OT-004</t>
  </si>
  <si>
    <t>Vendor patch requires full system shutdown-scheduled for next maintenance window</t>
  </si>
  <si>
    <t>EX-004</t>
  </si>
  <si>
    <t>Workforce Security Training HIPAA-005</t>
  </si>
  <si>
    <t>Contract Staff</t>
  </si>
  <si>
    <t>Contract workforce onboarding delayed training deployment</t>
  </si>
  <si>
    <t>HR Director</t>
  </si>
  <si>
    <t>EX-005</t>
  </si>
  <si>
    <t>Supplier Security Review ISO-004</t>
  </si>
  <si>
    <t>Vendor assessment suspended pending breach investigation</t>
  </si>
  <si>
    <t>Expired</t>
  </si>
  <si>
    <t>CASCADE HEALTH &amp; ENERGY SYSTEMS - Remediation</t>
  </si>
  <si>
    <t>Section: Gap Remediation Action Plan - IT + OT Environment</t>
  </si>
  <si>
    <t>Section: Remediation Actions</t>
  </si>
  <si>
    <t>Action ID</t>
  </si>
  <si>
    <t xml:space="preserve">Source </t>
  </si>
  <si>
    <t>Gap Description</t>
  </si>
  <si>
    <t>Priority</t>
  </si>
  <si>
    <t>Start Date</t>
  </si>
  <si>
    <t>Target Date</t>
  </si>
  <si>
    <t>RM-001</t>
  </si>
  <si>
    <t>R-001/NIST-OT-001</t>
  </si>
  <si>
    <t>Implement network segmentation between IT and OT environments</t>
  </si>
  <si>
    <t>In Progress</t>
  </si>
  <si>
    <t>RM-002</t>
  </si>
  <si>
    <t>R-002/NIST-OT-002</t>
  </si>
  <si>
    <t>Deploy jump server with MFA for all OT vendor remote access</t>
  </si>
  <si>
    <t>RM-003</t>
  </si>
  <si>
    <t xml:space="preserve">Enable full audit logging in Epic for all PHI access events </t>
  </si>
  <si>
    <t xml:space="preserve">Network Team </t>
  </si>
  <si>
    <t>Complete</t>
  </si>
  <si>
    <t>RM-004</t>
  </si>
  <si>
    <t>Establish quarterly OT firmware patch cycle for all PLCs and RTUs</t>
  </si>
  <si>
    <t xml:space="preserve">Facilities IT </t>
  </si>
  <si>
    <t>RM-005</t>
  </si>
  <si>
    <t>HIPAA- 004</t>
  </si>
  <si>
    <t>Deploy mandatory annual security awareness training for all staff</t>
  </si>
  <si>
    <t>Not Started</t>
  </si>
  <si>
    <t>RM-006</t>
  </si>
  <si>
    <t>ISO-005/R-008</t>
  </si>
  <si>
    <t>Develop and test OT-specific incident response procedures</t>
  </si>
  <si>
    <t>RM-007</t>
  </si>
  <si>
    <t>Review and update access control policy-annual review cycle</t>
  </si>
  <si>
    <t>RM-008</t>
  </si>
  <si>
    <t>ISO-004/R-007</t>
  </si>
  <si>
    <t>Implement vendor security review process for all third parties</t>
  </si>
  <si>
    <t xml:space="preserve">Vendor Risk Team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</si>
</sst>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0" fontId="4" fillId="0" borderId="0" xfId="0" applyFont="1"/>
    <xf numFmtId="0" fontId="0" fillId="2" borderId="0" xfId="0" applyFill="1"/>
    <xf numFmtId="0" fontId="3" fillId="2" borderId="0" xfId="0" applyFont="1" applyFill="1"/>
    <xf numFmtId="0" fontId="1" fillId="2" borderId="0" xfId="0" applyFont="1" applyFill="1"/>
    <xf numFmtId="0" fontId="5" fillId="2" borderId="0" xfId="0" applyFont="1" applyFill="1"/>
    <xf numFmtId="0" fontId="6" fillId="0" borderId="0" xfId="0" applyFont="1"/>
    <xf numFmtId="0" fontId="7" fillId="2" borderId="0" xfId="0" applyFont="1" applyFill="1"/>
    <xf numFmtId="0" fontId="2" fillId="0" borderId="0" xfId="0" applyFont="1"/>
    <xf numFmtId="14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830B-393B-45BB-B1E3-B809F5A7001B}">
  <dimension ref="A1:D23"/>
  <sheetViews>
    <sheetView workbookViewId="0">
      <selection activeCell="B27" sqref="B27"/>
    </sheetView>
  </sheetViews>
  <sheetFormatPr defaultRowHeight="14.4" x14ac:dyDescent="0.3"/>
  <cols>
    <col min="1" max="1" width="67.109375" bestFit="1" customWidth="1"/>
    <col min="2" max="2" width="46" bestFit="1" customWidth="1"/>
    <col min="3" max="3" width="12.109375" bestFit="1" customWidth="1"/>
    <col min="4" max="4" width="18.88671875" bestFit="1" customWidth="1"/>
  </cols>
  <sheetData>
    <row r="1" spans="1:4" s="3" customFormat="1" ht="18" x14ac:dyDescent="0.35">
      <c r="A1" s="6" t="s">
        <v>0</v>
      </c>
    </row>
    <row r="2" spans="1:4" ht="15.6" x14ac:dyDescent="0.3">
      <c r="A2" s="7" t="s">
        <v>1</v>
      </c>
    </row>
    <row r="3" spans="1:4" x14ac:dyDescent="0.3">
      <c r="A3" t="s">
        <v>2</v>
      </c>
      <c r="B3" t="s">
        <v>3</v>
      </c>
    </row>
    <row r="4" spans="1:4" x14ac:dyDescent="0.3">
      <c r="A4" t="s">
        <v>4</v>
      </c>
      <c r="B4" t="s">
        <v>5</v>
      </c>
    </row>
    <row r="5" spans="1:4" x14ac:dyDescent="0.3">
      <c r="A5" t="s">
        <v>6</v>
      </c>
      <c r="B5" s="1">
        <v>2400</v>
      </c>
    </row>
    <row r="6" spans="1:4" x14ac:dyDescent="0.3">
      <c r="A6" t="s">
        <v>7</v>
      </c>
      <c r="B6" t="s">
        <v>8</v>
      </c>
    </row>
    <row r="7" spans="1:4" x14ac:dyDescent="0.3">
      <c r="A7" t="s">
        <v>9</v>
      </c>
      <c r="B7" t="s">
        <v>10</v>
      </c>
    </row>
    <row r="8" spans="1:4" x14ac:dyDescent="0.3">
      <c r="A8" t="s">
        <v>11</v>
      </c>
      <c r="B8" t="s">
        <v>12</v>
      </c>
    </row>
    <row r="9" spans="1:4" x14ac:dyDescent="0.3">
      <c r="A9" t="s">
        <v>13</v>
      </c>
      <c r="B9" t="s">
        <v>14</v>
      </c>
    </row>
    <row r="10" spans="1:4" x14ac:dyDescent="0.3">
      <c r="A10" t="s">
        <v>15</v>
      </c>
      <c r="B10" t="s">
        <v>16</v>
      </c>
    </row>
    <row r="11" spans="1:4" x14ac:dyDescent="0.3">
      <c r="A11" t="s">
        <v>17</v>
      </c>
      <c r="B11" t="s">
        <v>18</v>
      </c>
    </row>
    <row r="12" spans="1:4" x14ac:dyDescent="0.3">
      <c r="A12" t="s">
        <v>19</v>
      </c>
      <c r="B12" t="s">
        <v>27</v>
      </c>
    </row>
    <row r="14" spans="1:4" s="3" customFormat="1" ht="15.6" x14ac:dyDescent="0.3">
      <c r="A14" s="8" t="s">
        <v>20</v>
      </c>
    </row>
    <row r="15" spans="1:4" x14ac:dyDescent="0.3">
      <c r="A15" s="5" t="s">
        <v>21</v>
      </c>
      <c r="B15" s="5" t="s">
        <v>22</v>
      </c>
      <c r="C15" s="5" t="s">
        <v>23</v>
      </c>
      <c r="D15" s="5" t="s">
        <v>24</v>
      </c>
    </row>
    <row r="16" spans="1:4" x14ac:dyDescent="0.3">
      <c r="A16" t="s">
        <v>25</v>
      </c>
      <c r="B16" t="s">
        <v>28</v>
      </c>
      <c r="C16" t="s">
        <v>26</v>
      </c>
      <c r="D16" t="s">
        <v>29</v>
      </c>
    </row>
    <row r="17" spans="1:4" x14ac:dyDescent="0.3">
      <c r="A17" t="s">
        <v>30</v>
      </c>
      <c r="B17" t="s">
        <v>31</v>
      </c>
      <c r="C17" t="s">
        <v>26</v>
      </c>
      <c r="D17" t="s">
        <v>32</v>
      </c>
    </row>
    <row r="18" spans="1:4" x14ac:dyDescent="0.3">
      <c r="A18" t="s">
        <v>33</v>
      </c>
      <c r="B18" t="s">
        <v>34</v>
      </c>
      <c r="C18" t="s">
        <v>35</v>
      </c>
      <c r="D18" t="s">
        <v>36</v>
      </c>
    </row>
    <row r="19" spans="1:4" x14ac:dyDescent="0.3">
      <c r="A19" t="s">
        <v>37</v>
      </c>
      <c r="B19" t="s">
        <v>38</v>
      </c>
      <c r="C19" t="s">
        <v>39</v>
      </c>
      <c r="D19" t="s">
        <v>49</v>
      </c>
    </row>
    <row r="20" spans="1:4" x14ac:dyDescent="0.3">
      <c r="A20" t="s">
        <v>37</v>
      </c>
      <c r="B20" t="s">
        <v>40</v>
      </c>
      <c r="C20" t="s">
        <v>39</v>
      </c>
      <c r="D20" t="s">
        <v>49</v>
      </c>
    </row>
    <row r="21" spans="1:4" x14ac:dyDescent="0.3">
      <c r="A21" t="s">
        <v>41</v>
      </c>
      <c r="B21" t="s">
        <v>42</v>
      </c>
      <c r="C21" t="s">
        <v>39</v>
      </c>
      <c r="D21" t="s">
        <v>48</v>
      </c>
    </row>
    <row r="22" spans="1:4" x14ac:dyDescent="0.3">
      <c r="A22" t="s">
        <v>33</v>
      </c>
      <c r="B22" t="s">
        <v>43</v>
      </c>
      <c r="C22" t="s">
        <v>44</v>
      </c>
      <c r="D22" t="s">
        <v>45</v>
      </c>
    </row>
    <row r="23" spans="1:4" x14ac:dyDescent="0.3">
      <c r="A23" t="s">
        <v>46</v>
      </c>
      <c r="B23" t="s">
        <v>47</v>
      </c>
      <c r="C23" t="s">
        <v>44</v>
      </c>
      <c r="D2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1DD5-FCD7-4571-819E-CE1B239FB870}">
  <dimension ref="A1:H11"/>
  <sheetViews>
    <sheetView workbookViewId="0">
      <selection activeCell="A4" sqref="A4:XFD4"/>
    </sheetView>
  </sheetViews>
  <sheetFormatPr defaultRowHeight="14.4" x14ac:dyDescent="0.3"/>
  <cols>
    <col min="1" max="1" width="65.77734375" bestFit="1" customWidth="1"/>
    <col min="2" max="2" width="18.5546875" bestFit="1" customWidth="1"/>
    <col min="3" max="3" width="23.109375" bestFit="1" customWidth="1"/>
    <col min="4" max="4" width="11.109375" bestFit="1" customWidth="1"/>
    <col min="5" max="5" width="15.21875" bestFit="1" customWidth="1"/>
    <col min="6" max="6" width="9.44140625" bestFit="1" customWidth="1"/>
    <col min="7" max="7" width="9.109375" bestFit="1" customWidth="1"/>
    <col min="8" max="8" width="13.21875" bestFit="1" customWidth="1"/>
  </cols>
  <sheetData>
    <row r="1" spans="1:8" s="3" customFormat="1" ht="18" x14ac:dyDescent="0.35">
      <c r="A1" s="6" t="s">
        <v>50</v>
      </c>
    </row>
    <row r="2" spans="1:8" x14ac:dyDescent="0.3">
      <c r="A2" s="2" t="s">
        <v>51</v>
      </c>
    </row>
    <row r="4" spans="1:8" s="3" customFormat="1" x14ac:dyDescent="0.3">
      <c r="A4" s="5" t="s">
        <v>52</v>
      </c>
    </row>
    <row r="5" spans="1:8" x14ac:dyDescent="0.3">
      <c r="A5" s="5" t="s">
        <v>53</v>
      </c>
      <c r="B5" s="5" t="s">
        <v>54</v>
      </c>
      <c r="C5" s="5" t="s">
        <v>55</v>
      </c>
      <c r="D5" s="5" t="s">
        <v>56</v>
      </c>
      <c r="E5" s="5" t="s">
        <v>57</v>
      </c>
      <c r="F5" s="5" t="s">
        <v>58</v>
      </c>
      <c r="G5" s="5" t="s">
        <v>59</v>
      </c>
      <c r="H5" s="5" t="s">
        <v>60</v>
      </c>
    </row>
    <row r="6" spans="1:8" x14ac:dyDescent="0.3">
      <c r="A6" t="s">
        <v>61</v>
      </c>
      <c r="B6" t="s">
        <v>62</v>
      </c>
      <c r="C6" t="s">
        <v>63</v>
      </c>
      <c r="D6" t="s">
        <v>64</v>
      </c>
      <c r="E6" s="10">
        <v>45672</v>
      </c>
      <c r="F6">
        <v>18</v>
      </c>
      <c r="G6" s="12" t="s">
        <v>36</v>
      </c>
      <c r="H6" t="s">
        <v>65</v>
      </c>
    </row>
    <row r="7" spans="1:8" x14ac:dyDescent="0.3">
      <c r="A7" t="s">
        <v>66</v>
      </c>
      <c r="B7" t="s">
        <v>67</v>
      </c>
      <c r="C7" t="s">
        <v>68</v>
      </c>
      <c r="D7" t="s">
        <v>69</v>
      </c>
      <c r="E7" s="10">
        <v>45698</v>
      </c>
      <c r="F7">
        <v>12</v>
      </c>
      <c r="G7" s="13" t="s">
        <v>32</v>
      </c>
      <c r="H7" t="s">
        <v>70</v>
      </c>
    </row>
    <row r="8" spans="1:8" x14ac:dyDescent="0.3">
      <c r="A8" t="s">
        <v>71</v>
      </c>
      <c r="B8" t="s">
        <v>72</v>
      </c>
      <c r="C8" t="s">
        <v>73</v>
      </c>
      <c r="D8" t="s">
        <v>77</v>
      </c>
      <c r="E8" s="10">
        <v>45721</v>
      </c>
      <c r="F8">
        <v>20</v>
      </c>
      <c r="G8" s="11" t="s">
        <v>45</v>
      </c>
      <c r="H8" t="s">
        <v>65</v>
      </c>
    </row>
    <row r="9" spans="1:8" x14ac:dyDescent="0.3">
      <c r="A9" t="s">
        <v>74</v>
      </c>
      <c r="B9" t="s">
        <v>75</v>
      </c>
      <c r="C9" t="s">
        <v>76</v>
      </c>
      <c r="D9" t="s">
        <v>78</v>
      </c>
      <c r="E9" s="10">
        <v>45736</v>
      </c>
      <c r="F9">
        <v>10</v>
      </c>
      <c r="G9" s="13" t="s">
        <v>32</v>
      </c>
      <c r="H9" t="s">
        <v>65</v>
      </c>
    </row>
    <row r="10" spans="1:8" x14ac:dyDescent="0.3">
      <c r="A10" t="s">
        <v>79</v>
      </c>
      <c r="B10" t="s">
        <v>80</v>
      </c>
      <c r="C10" t="s">
        <v>81</v>
      </c>
      <c r="D10" t="s">
        <v>82</v>
      </c>
      <c r="E10" s="10">
        <v>45748</v>
      </c>
      <c r="F10">
        <v>16</v>
      </c>
      <c r="G10" s="12" t="s">
        <v>36</v>
      </c>
      <c r="H10" t="s">
        <v>65</v>
      </c>
    </row>
    <row r="11" spans="1:8" x14ac:dyDescent="0.3">
      <c r="A11" t="s">
        <v>83</v>
      </c>
      <c r="B11" t="s">
        <v>84</v>
      </c>
      <c r="C11" t="s">
        <v>85</v>
      </c>
      <c r="D11" t="s">
        <v>86</v>
      </c>
      <c r="E11" s="10">
        <v>45762</v>
      </c>
      <c r="F11">
        <v>22</v>
      </c>
      <c r="G11" s="11" t="s">
        <v>45</v>
      </c>
      <c r="H11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3E86F-42EB-475D-9F18-315179890A82}">
  <dimension ref="A1:H15"/>
  <sheetViews>
    <sheetView workbookViewId="0">
      <selection activeCell="C29" sqref="C29"/>
    </sheetView>
  </sheetViews>
  <sheetFormatPr defaultRowHeight="14.4" x14ac:dyDescent="0.3"/>
  <cols>
    <col min="1" max="1" width="52.33203125" bestFit="1" customWidth="1"/>
    <col min="2" max="2" width="10.21875" bestFit="1" customWidth="1"/>
    <col min="3" max="3" width="28" bestFit="1" customWidth="1"/>
    <col min="4" max="4" width="15.88671875" bestFit="1" customWidth="1"/>
    <col min="5" max="5" width="19" bestFit="1" customWidth="1"/>
    <col min="6" max="6" width="12.44140625" bestFit="1" customWidth="1"/>
    <col min="7" max="7" width="46.109375" bestFit="1" customWidth="1"/>
    <col min="8" max="8" width="41.88671875" bestFit="1" customWidth="1"/>
  </cols>
  <sheetData>
    <row r="1" spans="1:8" s="3" customFormat="1" ht="18" x14ac:dyDescent="0.35">
      <c r="A1" s="6" t="s">
        <v>88</v>
      </c>
    </row>
    <row r="2" spans="1:8" x14ac:dyDescent="0.3">
      <c r="A2" t="s">
        <v>89</v>
      </c>
    </row>
    <row r="4" spans="1:8" s="3" customFormat="1" x14ac:dyDescent="0.3">
      <c r="A4" s="4" t="s">
        <v>90</v>
      </c>
    </row>
    <row r="5" spans="1:8" s="9" customFormat="1" x14ac:dyDescent="0.3">
      <c r="A5" s="5" t="s">
        <v>91</v>
      </c>
      <c r="B5" s="5" t="s">
        <v>92</v>
      </c>
      <c r="C5" s="5" t="s">
        <v>93</v>
      </c>
      <c r="D5" s="5" t="s">
        <v>94</v>
      </c>
      <c r="E5" s="5" t="s">
        <v>60</v>
      </c>
      <c r="F5" s="5" t="s">
        <v>95</v>
      </c>
      <c r="G5" s="5" t="s">
        <v>96</v>
      </c>
      <c r="H5" s="5"/>
    </row>
    <row r="6" spans="1:8" x14ac:dyDescent="0.3">
      <c r="A6" t="s">
        <v>97</v>
      </c>
      <c r="B6" t="s">
        <v>98</v>
      </c>
      <c r="C6" t="s">
        <v>99</v>
      </c>
      <c r="D6" t="s">
        <v>100</v>
      </c>
      <c r="E6" s="14" t="s">
        <v>101</v>
      </c>
      <c r="F6" t="s">
        <v>102</v>
      </c>
      <c r="G6" t="s">
        <v>103</v>
      </c>
    </row>
    <row r="7" spans="1:8" x14ac:dyDescent="0.3">
      <c r="A7" t="s">
        <v>104</v>
      </c>
      <c r="B7" t="s">
        <v>98</v>
      </c>
      <c r="C7" t="s">
        <v>105</v>
      </c>
      <c r="D7" t="s">
        <v>106</v>
      </c>
      <c r="E7" s="13" t="s">
        <v>107</v>
      </c>
      <c r="F7" t="s">
        <v>108</v>
      </c>
      <c r="G7" t="s">
        <v>109</v>
      </c>
    </row>
    <row r="8" spans="1:8" x14ac:dyDescent="0.3">
      <c r="A8" t="s">
        <v>110</v>
      </c>
      <c r="B8" t="s">
        <v>98</v>
      </c>
      <c r="C8" t="s">
        <v>111</v>
      </c>
      <c r="D8" t="s">
        <v>106</v>
      </c>
      <c r="E8" s="14" t="s">
        <v>101</v>
      </c>
      <c r="F8" t="s">
        <v>102</v>
      </c>
      <c r="G8" t="s">
        <v>103</v>
      </c>
    </row>
    <row r="9" spans="1:8" x14ac:dyDescent="0.3">
      <c r="A9" t="s">
        <v>112</v>
      </c>
      <c r="B9" t="s">
        <v>98</v>
      </c>
      <c r="C9" t="s">
        <v>113</v>
      </c>
      <c r="D9" t="s">
        <v>100</v>
      </c>
      <c r="E9" s="13" t="s">
        <v>107</v>
      </c>
      <c r="F9" t="s">
        <v>108</v>
      </c>
      <c r="G9" t="s">
        <v>114</v>
      </c>
    </row>
    <row r="10" spans="1:8" x14ac:dyDescent="0.3">
      <c r="A10" t="s">
        <v>115</v>
      </c>
      <c r="B10" t="s">
        <v>98</v>
      </c>
      <c r="C10" t="s">
        <v>116</v>
      </c>
      <c r="D10" t="s">
        <v>100</v>
      </c>
      <c r="E10" s="15" t="s">
        <v>117</v>
      </c>
      <c r="F10" t="s">
        <v>118</v>
      </c>
      <c r="G10" t="s">
        <v>119</v>
      </c>
    </row>
    <row r="11" spans="1:8" x14ac:dyDescent="0.3">
      <c r="A11" t="s">
        <v>120</v>
      </c>
      <c r="B11" t="s">
        <v>121</v>
      </c>
      <c r="C11" t="s">
        <v>122</v>
      </c>
      <c r="D11" t="s">
        <v>123</v>
      </c>
      <c r="E11" s="14" t="s">
        <v>101</v>
      </c>
      <c r="F11" t="s">
        <v>102</v>
      </c>
      <c r="G11" t="s">
        <v>103</v>
      </c>
    </row>
    <row r="12" spans="1:8" x14ac:dyDescent="0.3">
      <c r="A12" t="s">
        <v>124</v>
      </c>
      <c r="B12" t="s">
        <v>121</v>
      </c>
      <c r="C12" t="s">
        <v>125</v>
      </c>
      <c r="D12" t="s">
        <v>130</v>
      </c>
      <c r="E12" s="13" t="s">
        <v>107</v>
      </c>
      <c r="F12" t="s">
        <v>108</v>
      </c>
      <c r="G12" t="s">
        <v>126</v>
      </c>
    </row>
    <row r="13" spans="1:8" x14ac:dyDescent="0.3">
      <c r="A13" t="s">
        <v>127</v>
      </c>
      <c r="B13" t="s">
        <v>121</v>
      </c>
      <c r="C13" t="s">
        <v>128</v>
      </c>
      <c r="D13" t="s">
        <v>129</v>
      </c>
      <c r="E13" s="14" t="s">
        <v>101</v>
      </c>
      <c r="F13" t="s">
        <v>102</v>
      </c>
      <c r="G13" t="s">
        <v>103</v>
      </c>
    </row>
    <row r="14" spans="1:8" x14ac:dyDescent="0.3">
      <c r="A14" t="s">
        <v>131</v>
      </c>
      <c r="B14" t="s">
        <v>121</v>
      </c>
      <c r="C14" t="s">
        <v>132</v>
      </c>
      <c r="D14" t="s">
        <v>133</v>
      </c>
      <c r="E14" s="13" t="s">
        <v>107</v>
      </c>
      <c r="F14" t="s">
        <v>108</v>
      </c>
      <c r="G14" t="s">
        <v>134</v>
      </c>
    </row>
    <row r="15" spans="1:8" x14ac:dyDescent="0.3">
      <c r="A15" t="s">
        <v>135</v>
      </c>
      <c r="B15" t="s">
        <v>121</v>
      </c>
      <c r="C15" t="s">
        <v>136</v>
      </c>
      <c r="D15" t="s">
        <v>137</v>
      </c>
      <c r="E15" s="15" t="s">
        <v>117</v>
      </c>
      <c r="F15" t="s">
        <v>108</v>
      </c>
      <c r="G15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0179E-382B-435C-B504-5876F3756A03}">
  <dimension ref="A1:G15"/>
  <sheetViews>
    <sheetView workbookViewId="0">
      <selection activeCell="B33" sqref="B33"/>
    </sheetView>
  </sheetViews>
  <sheetFormatPr defaultRowHeight="14.4" x14ac:dyDescent="0.3"/>
  <cols>
    <col min="1" max="1" width="62.44140625" bestFit="1" customWidth="1"/>
    <col min="2" max="2" width="10.88671875" bestFit="1" customWidth="1"/>
    <col min="3" max="3" width="30" bestFit="1" customWidth="1"/>
    <col min="4" max="4" width="12.5546875" bestFit="1" customWidth="1"/>
    <col min="5" max="5" width="19" bestFit="1" customWidth="1"/>
    <col min="6" max="6" width="12.88671875" bestFit="1" customWidth="1"/>
    <col min="7" max="7" width="51.6640625" bestFit="1" customWidth="1"/>
  </cols>
  <sheetData>
    <row r="1" spans="1:7" s="3" customFormat="1" ht="18" x14ac:dyDescent="0.35">
      <c r="A1" s="16" t="s">
        <v>176</v>
      </c>
    </row>
    <row r="2" spans="1:7" x14ac:dyDescent="0.3">
      <c r="A2" s="2" t="s">
        <v>139</v>
      </c>
    </row>
    <row r="4" spans="1:7" s="3" customFormat="1" x14ac:dyDescent="0.3">
      <c r="A4" s="5" t="s">
        <v>140</v>
      </c>
    </row>
    <row r="5" spans="1:7" s="5" customFormat="1" x14ac:dyDescent="0.3">
      <c r="A5" s="5" t="s">
        <v>91</v>
      </c>
      <c r="B5" s="5" t="s">
        <v>92</v>
      </c>
      <c r="C5" s="5" t="s">
        <v>93</v>
      </c>
      <c r="D5" s="5" t="s">
        <v>141</v>
      </c>
      <c r="E5" s="5" t="s">
        <v>142</v>
      </c>
      <c r="F5" s="5" t="s">
        <v>95</v>
      </c>
      <c r="G5" s="5" t="s">
        <v>96</v>
      </c>
    </row>
    <row r="6" spans="1:7" x14ac:dyDescent="0.3">
      <c r="A6" t="s">
        <v>143</v>
      </c>
      <c r="B6" t="s">
        <v>144</v>
      </c>
      <c r="C6" t="s">
        <v>145</v>
      </c>
      <c r="D6" t="s">
        <v>36</v>
      </c>
      <c r="E6" s="13" t="s">
        <v>107</v>
      </c>
      <c r="F6" t="s">
        <v>118</v>
      </c>
      <c r="G6" t="s">
        <v>146</v>
      </c>
    </row>
    <row r="7" spans="1:7" x14ac:dyDescent="0.3">
      <c r="A7" t="s">
        <v>147</v>
      </c>
      <c r="B7" t="s">
        <v>144</v>
      </c>
      <c r="C7" t="s">
        <v>148</v>
      </c>
      <c r="D7" t="s">
        <v>36</v>
      </c>
      <c r="E7" s="15" t="s">
        <v>149</v>
      </c>
      <c r="F7" t="s">
        <v>118</v>
      </c>
      <c r="G7" t="s">
        <v>150</v>
      </c>
    </row>
    <row r="8" spans="1:7" x14ac:dyDescent="0.3">
      <c r="A8" t="s">
        <v>151</v>
      </c>
      <c r="B8" t="s">
        <v>144</v>
      </c>
      <c r="C8" t="s">
        <v>152</v>
      </c>
      <c r="D8" t="s">
        <v>32</v>
      </c>
      <c r="E8" s="13" t="s">
        <v>107</v>
      </c>
      <c r="F8" t="s">
        <v>118</v>
      </c>
      <c r="G8" t="s">
        <v>153</v>
      </c>
    </row>
    <row r="9" spans="1:7" x14ac:dyDescent="0.3">
      <c r="A9" t="s">
        <v>154</v>
      </c>
      <c r="B9" t="s">
        <v>144</v>
      </c>
      <c r="C9" t="s">
        <v>155</v>
      </c>
      <c r="D9" t="s">
        <v>36</v>
      </c>
      <c r="E9" s="15" t="s">
        <v>149</v>
      </c>
      <c r="F9" t="s">
        <v>118</v>
      </c>
      <c r="G9" t="s">
        <v>156</v>
      </c>
    </row>
    <row r="10" spans="1:7" x14ac:dyDescent="0.3">
      <c r="A10" t="s">
        <v>157</v>
      </c>
      <c r="B10" t="s">
        <v>144</v>
      </c>
      <c r="C10" t="s">
        <v>158</v>
      </c>
      <c r="D10" t="s">
        <v>36</v>
      </c>
      <c r="E10" s="14" t="s">
        <v>101</v>
      </c>
      <c r="F10" t="s">
        <v>159</v>
      </c>
      <c r="G10" t="s">
        <v>103</v>
      </c>
    </row>
    <row r="11" spans="1:7" x14ac:dyDescent="0.3">
      <c r="A11" t="s">
        <v>160</v>
      </c>
      <c r="B11" t="s">
        <v>161</v>
      </c>
      <c r="C11" t="s">
        <v>162</v>
      </c>
      <c r="D11" t="s">
        <v>163</v>
      </c>
      <c r="E11" s="13" t="s">
        <v>107</v>
      </c>
      <c r="F11" t="s">
        <v>118</v>
      </c>
      <c r="G11" t="s">
        <v>164</v>
      </c>
    </row>
    <row r="12" spans="1:7" x14ac:dyDescent="0.3">
      <c r="A12" t="s">
        <v>165</v>
      </c>
      <c r="B12" t="s">
        <v>161</v>
      </c>
      <c r="C12" t="s">
        <v>166</v>
      </c>
      <c r="D12" t="s">
        <v>163</v>
      </c>
      <c r="E12" s="15" t="s">
        <v>149</v>
      </c>
      <c r="F12" t="s">
        <v>118</v>
      </c>
      <c r="G12" t="s">
        <v>177</v>
      </c>
    </row>
    <row r="13" spans="1:7" x14ac:dyDescent="0.3">
      <c r="A13" t="s">
        <v>167</v>
      </c>
      <c r="B13" t="s">
        <v>161</v>
      </c>
      <c r="C13" t="s">
        <v>168</v>
      </c>
      <c r="D13" t="s">
        <v>163</v>
      </c>
      <c r="E13" s="15" t="s">
        <v>149</v>
      </c>
      <c r="F13" t="s">
        <v>118</v>
      </c>
      <c r="G13" t="s">
        <v>169</v>
      </c>
    </row>
    <row r="14" spans="1:7" x14ac:dyDescent="0.3">
      <c r="A14" t="s">
        <v>170</v>
      </c>
      <c r="B14" t="s">
        <v>161</v>
      </c>
      <c r="C14" t="s">
        <v>171</v>
      </c>
      <c r="D14" t="s">
        <v>172</v>
      </c>
      <c r="E14" s="13" t="s">
        <v>107</v>
      </c>
      <c r="F14" t="s">
        <v>118</v>
      </c>
      <c r="G14" t="s">
        <v>173</v>
      </c>
    </row>
    <row r="15" spans="1:7" x14ac:dyDescent="0.3">
      <c r="A15" t="s">
        <v>174</v>
      </c>
      <c r="B15" t="s">
        <v>161</v>
      </c>
      <c r="C15" t="s">
        <v>175</v>
      </c>
      <c r="D15" t="s">
        <v>163</v>
      </c>
      <c r="E15" s="14" t="s">
        <v>101</v>
      </c>
      <c r="F15" t="s">
        <v>159</v>
      </c>
      <c r="G15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F8D1-5458-4056-88C8-43B8A468C79B}">
  <dimension ref="A1:I13"/>
  <sheetViews>
    <sheetView workbookViewId="0">
      <selection activeCell="B22" sqref="B22"/>
    </sheetView>
  </sheetViews>
  <sheetFormatPr defaultRowHeight="14.4" x14ac:dyDescent="0.3"/>
  <cols>
    <col min="1" max="1" width="56.5546875" bestFit="1" customWidth="1"/>
    <col min="2" max="2" width="49.33203125" bestFit="1" customWidth="1"/>
    <col min="3" max="3" width="11.33203125" bestFit="1" customWidth="1"/>
    <col min="4" max="4" width="13.6640625" bestFit="1" customWidth="1"/>
    <col min="5" max="5" width="10.88671875" bestFit="1" customWidth="1"/>
    <col min="6" max="6" width="9.6640625" bestFit="1" customWidth="1"/>
    <col min="8" max="8" width="18.109375" bestFit="1" customWidth="1"/>
    <col min="9" max="9" width="51.77734375" bestFit="1" customWidth="1"/>
  </cols>
  <sheetData>
    <row r="1" spans="1:9" s="16" customFormat="1" ht="18" x14ac:dyDescent="0.35">
      <c r="A1" s="16" t="s">
        <v>178</v>
      </c>
    </row>
    <row r="2" spans="1:9" s="2" customFormat="1" x14ac:dyDescent="0.3">
      <c r="A2" s="2" t="s">
        <v>179</v>
      </c>
    </row>
    <row r="4" spans="1:9" s="4" customFormat="1" x14ac:dyDescent="0.3">
      <c r="A4" s="4" t="s">
        <v>180</v>
      </c>
    </row>
    <row r="5" spans="1:9" s="5" customFormat="1" x14ac:dyDescent="0.3">
      <c r="A5" s="5" t="s">
        <v>181</v>
      </c>
      <c r="B5" s="5" t="s">
        <v>182</v>
      </c>
      <c r="C5" s="5" t="s">
        <v>23</v>
      </c>
      <c r="D5" s="5" t="s">
        <v>183</v>
      </c>
      <c r="E5" s="5" t="s">
        <v>184</v>
      </c>
      <c r="F5" s="5" t="s">
        <v>185</v>
      </c>
      <c r="G5" s="5" t="s">
        <v>59</v>
      </c>
      <c r="H5" s="5" t="s">
        <v>186</v>
      </c>
      <c r="I5" s="5" t="s">
        <v>187</v>
      </c>
    </row>
    <row r="6" spans="1:9" x14ac:dyDescent="0.3">
      <c r="A6" t="s">
        <v>188</v>
      </c>
      <c r="B6" t="s">
        <v>189</v>
      </c>
      <c r="C6" t="s">
        <v>44</v>
      </c>
      <c r="D6">
        <v>4</v>
      </c>
      <c r="E6">
        <v>5</v>
      </c>
      <c r="F6">
        <f>D6*E6</f>
        <v>20</v>
      </c>
      <c r="G6" s="15" t="s">
        <v>45</v>
      </c>
      <c r="H6" t="s">
        <v>190</v>
      </c>
      <c r="I6" t="s">
        <v>197</v>
      </c>
    </row>
    <row r="7" spans="1:9" x14ac:dyDescent="0.3">
      <c r="A7" t="s">
        <v>191</v>
      </c>
      <c r="B7" t="s">
        <v>192</v>
      </c>
      <c r="C7" t="s">
        <v>193</v>
      </c>
      <c r="D7">
        <v>3</v>
      </c>
      <c r="E7">
        <v>5</v>
      </c>
      <c r="F7">
        <v>15</v>
      </c>
      <c r="G7" s="12" t="s">
        <v>36</v>
      </c>
      <c r="H7" t="s">
        <v>194</v>
      </c>
      <c r="I7" t="s">
        <v>198</v>
      </c>
    </row>
    <row r="8" spans="1:9" x14ac:dyDescent="0.3">
      <c r="A8" t="s">
        <v>195</v>
      </c>
      <c r="B8" t="s">
        <v>196</v>
      </c>
      <c r="C8" t="s">
        <v>26</v>
      </c>
      <c r="D8">
        <v>3</v>
      </c>
      <c r="E8">
        <v>4</v>
      </c>
      <c r="F8">
        <v>12</v>
      </c>
      <c r="G8" s="12" t="s">
        <v>36</v>
      </c>
      <c r="H8" t="s">
        <v>203</v>
      </c>
      <c r="I8" t="s">
        <v>199</v>
      </c>
    </row>
    <row r="9" spans="1:9" x14ac:dyDescent="0.3">
      <c r="A9" t="s">
        <v>204</v>
      </c>
      <c r="B9" t="s">
        <v>205</v>
      </c>
      <c r="C9" t="s">
        <v>193</v>
      </c>
      <c r="D9">
        <v>4</v>
      </c>
      <c r="E9">
        <v>3</v>
      </c>
      <c r="F9">
        <v>12</v>
      </c>
      <c r="G9" s="12" t="s">
        <v>36</v>
      </c>
      <c r="H9" t="s">
        <v>206</v>
      </c>
      <c r="I9" t="s">
        <v>209</v>
      </c>
    </row>
    <row r="10" spans="1:9" x14ac:dyDescent="0.3">
      <c r="A10" t="s">
        <v>207</v>
      </c>
      <c r="B10" t="s">
        <v>208</v>
      </c>
      <c r="C10" t="s">
        <v>44</v>
      </c>
      <c r="D10">
        <v>2</v>
      </c>
      <c r="E10">
        <v>5</v>
      </c>
      <c r="F10">
        <v>10</v>
      </c>
      <c r="G10" s="13" t="s">
        <v>32</v>
      </c>
      <c r="H10" t="s">
        <v>203</v>
      </c>
      <c r="I10" t="s">
        <v>210</v>
      </c>
    </row>
    <row r="11" spans="1:9" x14ac:dyDescent="0.3">
      <c r="A11" t="s">
        <v>211</v>
      </c>
      <c r="B11" t="s">
        <v>212</v>
      </c>
      <c r="C11" t="s">
        <v>26</v>
      </c>
      <c r="D11">
        <v>4</v>
      </c>
      <c r="E11">
        <v>3</v>
      </c>
      <c r="F11">
        <v>12</v>
      </c>
      <c r="G11" s="12" t="s">
        <v>36</v>
      </c>
      <c r="H11" t="s">
        <v>213</v>
      </c>
      <c r="I11" t="s">
        <v>200</v>
      </c>
    </row>
    <row r="12" spans="1:9" x14ac:dyDescent="0.3">
      <c r="A12" t="s">
        <v>214</v>
      </c>
      <c r="B12" t="s">
        <v>215</v>
      </c>
      <c r="C12" t="s">
        <v>26</v>
      </c>
      <c r="D12">
        <v>3</v>
      </c>
      <c r="E12">
        <v>5</v>
      </c>
      <c r="F12">
        <v>15</v>
      </c>
      <c r="G12" s="12" t="s">
        <v>36</v>
      </c>
      <c r="H12" t="s">
        <v>216</v>
      </c>
      <c r="I12" t="s">
        <v>201</v>
      </c>
    </row>
    <row r="13" spans="1:9" x14ac:dyDescent="0.3">
      <c r="A13" t="s">
        <v>217</v>
      </c>
      <c r="B13" t="s">
        <v>218</v>
      </c>
      <c r="C13" t="s">
        <v>193</v>
      </c>
      <c r="D13">
        <v>3</v>
      </c>
      <c r="E13">
        <v>4</v>
      </c>
      <c r="F13">
        <v>12</v>
      </c>
      <c r="G13" s="12" t="s">
        <v>36</v>
      </c>
      <c r="H13" t="s">
        <v>190</v>
      </c>
      <c r="I13" t="s">
        <v>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7BC4C-F8DB-443B-98B6-E6330ED4FA72}">
  <dimension ref="A1:I10"/>
  <sheetViews>
    <sheetView topLeftCell="B1" workbookViewId="0">
      <selection activeCell="I8" sqref="I8"/>
    </sheetView>
  </sheetViews>
  <sheetFormatPr defaultRowHeight="14.4" x14ac:dyDescent="0.3"/>
  <cols>
    <col min="1" max="1" width="66.6640625" bestFit="1" customWidth="1"/>
    <col min="2" max="2" width="36.33203125" bestFit="1" customWidth="1"/>
    <col min="3" max="3" width="27.88671875" bestFit="1" customWidth="1"/>
    <col min="4" max="4" width="83" bestFit="1" customWidth="1"/>
    <col min="5" max="5" width="9.44140625" bestFit="1" customWidth="1"/>
    <col min="6" max="6" width="18.88671875" bestFit="1" customWidth="1"/>
    <col min="7" max="7" width="13.33203125" bestFit="1" customWidth="1"/>
    <col min="8" max="8" width="10.6640625" bestFit="1" customWidth="1"/>
    <col min="9" max="9" width="7.44140625" customWidth="1"/>
  </cols>
  <sheetData>
    <row r="1" spans="1:9" s="16" customFormat="1" ht="18" x14ac:dyDescent="0.35">
      <c r="A1" s="16" t="s">
        <v>219</v>
      </c>
    </row>
    <row r="2" spans="1:9" s="2" customFormat="1" x14ac:dyDescent="0.3">
      <c r="A2" s="2" t="s">
        <v>220</v>
      </c>
    </row>
    <row r="4" spans="1:9" s="5" customFormat="1" x14ac:dyDescent="0.3">
      <c r="A4" s="5" t="s">
        <v>221</v>
      </c>
    </row>
    <row r="5" spans="1:9" s="5" customFormat="1" x14ac:dyDescent="0.3">
      <c r="A5" s="5" t="s">
        <v>222</v>
      </c>
      <c r="B5" s="5" t="s">
        <v>223</v>
      </c>
      <c r="C5" s="5" t="s">
        <v>224</v>
      </c>
      <c r="D5" s="5" t="s">
        <v>225</v>
      </c>
      <c r="E5" s="5" t="s">
        <v>59</v>
      </c>
      <c r="F5" s="5" t="s">
        <v>226</v>
      </c>
      <c r="G5" s="5" t="s">
        <v>227</v>
      </c>
      <c r="H5" s="5" t="s">
        <v>228</v>
      </c>
      <c r="I5" s="5" t="s">
        <v>60</v>
      </c>
    </row>
    <row r="6" spans="1:9" x14ac:dyDescent="0.3">
      <c r="A6" t="s">
        <v>229</v>
      </c>
      <c r="B6" t="s">
        <v>230</v>
      </c>
      <c r="C6" t="s">
        <v>231</v>
      </c>
      <c r="D6" t="s">
        <v>232</v>
      </c>
      <c r="E6" s="13" t="s">
        <v>32</v>
      </c>
      <c r="F6" t="s">
        <v>190</v>
      </c>
      <c r="G6" s="10">
        <v>45667</v>
      </c>
      <c r="H6" s="10">
        <v>46032</v>
      </c>
      <c r="I6" s="14" t="s">
        <v>65</v>
      </c>
    </row>
    <row r="7" spans="1:9" x14ac:dyDescent="0.3">
      <c r="A7" t="s">
        <v>233</v>
      </c>
      <c r="B7" t="s">
        <v>234</v>
      </c>
      <c r="C7" t="s">
        <v>72</v>
      </c>
      <c r="D7" t="s">
        <v>235</v>
      </c>
      <c r="E7" s="15" t="s">
        <v>45</v>
      </c>
      <c r="F7" t="s">
        <v>236</v>
      </c>
      <c r="G7" s="10">
        <v>45703</v>
      </c>
      <c r="H7" s="10">
        <v>45884</v>
      </c>
      <c r="I7" s="15" t="s">
        <v>248</v>
      </c>
    </row>
    <row r="8" spans="1:9" x14ac:dyDescent="0.3">
      <c r="A8" t="s">
        <v>237</v>
      </c>
      <c r="B8" t="s">
        <v>238</v>
      </c>
      <c r="C8" t="s">
        <v>38</v>
      </c>
      <c r="D8" t="s">
        <v>239</v>
      </c>
      <c r="E8" s="12" t="s">
        <v>36</v>
      </c>
      <c r="F8" t="s">
        <v>194</v>
      </c>
      <c r="G8" s="10">
        <v>45717</v>
      </c>
      <c r="H8" s="10">
        <v>45809</v>
      </c>
      <c r="I8" s="15" t="s">
        <v>248</v>
      </c>
    </row>
    <row r="9" spans="1:9" x14ac:dyDescent="0.3">
      <c r="A9" t="s">
        <v>240</v>
      </c>
      <c r="B9" t="s">
        <v>241</v>
      </c>
      <c r="C9" t="s">
        <v>242</v>
      </c>
      <c r="D9" t="s">
        <v>243</v>
      </c>
      <c r="E9" s="13" t="s">
        <v>32</v>
      </c>
      <c r="F9" t="s">
        <v>244</v>
      </c>
      <c r="G9" s="10">
        <v>45748</v>
      </c>
      <c r="H9" s="10">
        <v>45931</v>
      </c>
      <c r="I9" s="14" t="s">
        <v>65</v>
      </c>
    </row>
    <row r="10" spans="1:9" x14ac:dyDescent="0.3">
      <c r="A10" t="s">
        <v>245</v>
      </c>
      <c r="B10" t="s">
        <v>246</v>
      </c>
      <c r="C10" t="s">
        <v>84</v>
      </c>
      <c r="D10" t="s">
        <v>247</v>
      </c>
      <c r="E10" s="15" t="s">
        <v>45</v>
      </c>
      <c r="F10" t="s">
        <v>190</v>
      </c>
      <c r="G10" s="10">
        <v>45762</v>
      </c>
      <c r="H10" s="10">
        <v>45853</v>
      </c>
      <c r="I10" s="14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26AD9-FE1F-45E3-A387-23DBFB679FFE}">
  <dimension ref="A1:H13"/>
  <sheetViews>
    <sheetView tabSelected="1" workbookViewId="0">
      <selection activeCell="C18" sqref="C18"/>
    </sheetView>
  </sheetViews>
  <sheetFormatPr defaultRowHeight="14.4" x14ac:dyDescent="0.3"/>
  <cols>
    <col min="1" max="1" width="60.77734375" bestFit="1" customWidth="1"/>
    <col min="2" max="2" width="17.33203125" bestFit="1" customWidth="1"/>
    <col min="3" max="3" width="61.33203125" customWidth="1"/>
    <col min="4" max="4" width="8.21875" bestFit="1" customWidth="1"/>
    <col min="5" max="5" width="18.88671875" bestFit="1" customWidth="1"/>
    <col min="6" max="7" width="9.5546875" bestFit="1" customWidth="1"/>
    <col min="8" max="8" width="10.77734375" bestFit="1" customWidth="1"/>
  </cols>
  <sheetData>
    <row r="1" spans="1:8" s="6" customFormat="1" ht="18" x14ac:dyDescent="0.35">
      <c r="A1" s="6" t="s">
        <v>249</v>
      </c>
    </row>
    <row r="2" spans="1:8" s="2" customFormat="1" x14ac:dyDescent="0.3">
      <c r="A2" s="2" t="s">
        <v>250</v>
      </c>
    </row>
    <row r="4" spans="1:8" s="5" customFormat="1" x14ac:dyDescent="0.3">
      <c r="A4" s="5" t="s">
        <v>251</v>
      </c>
    </row>
    <row r="5" spans="1:8" s="5" customFormat="1" x14ac:dyDescent="0.3">
      <c r="A5" s="5" t="s">
        <v>252</v>
      </c>
      <c r="B5" s="5" t="s">
        <v>253</v>
      </c>
      <c r="C5" s="5" t="s">
        <v>254</v>
      </c>
      <c r="D5" s="5" t="s">
        <v>255</v>
      </c>
      <c r="E5" s="5" t="s">
        <v>186</v>
      </c>
      <c r="F5" s="5" t="s">
        <v>256</v>
      </c>
      <c r="G5" s="5" t="s">
        <v>257</v>
      </c>
      <c r="H5" s="5" t="s">
        <v>60</v>
      </c>
    </row>
    <row r="6" spans="1:8" x14ac:dyDescent="0.3">
      <c r="A6" t="s">
        <v>258</v>
      </c>
      <c r="B6" t="s">
        <v>259</v>
      </c>
      <c r="C6" t="s">
        <v>260</v>
      </c>
      <c r="D6" s="15" t="s">
        <v>45</v>
      </c>
      <c r="E6" t="s">
        <v>190</v>
      </c>
      <c r="F6" s="10">
        <v>45658</v>
      </c>
      <c r="G6" s="10">
        <v>45747</v>
      </c>
      <c r="H6" s="13" t="s">
        <v>261</v>
      </c>
    </row>
    <row r="7" spans="1:8" x14ac:dyDescent="0.3">
      <c r="A7" t="s">
        <v>262</v>
      </c>
      <c r="B7" t="s">
        <v>263</v>
      </c>
      <c r="C7" t="s">
        <v>264</v>
      </c>
      <c r="D7" s="15" t="s">
        <v>45</v>
      </c>
      <c r="E7" t="s">
        <v>194</v>
      </c>
      <c r="F7" s="10">
        <v>45672</v>
      </c>
      <c r="G7" s="10">
        <v>45777</v>
      </c>
      <c r="H7" s="13" t="s">
        <v>261</v>
      </c>
    </row>
    <row r="8" spans="1:8" x14ac:dyDescent="0.3">
      <c r="A8" t="s">
        <v>265</v>
      </c>
      <c r="B8" t="s">
        <v>273</v>
      </c>
      <c r="C8" t="s">
        <v>266</v>
      </c>
      <c r="D8" s="12" t="s">
        <v>36</v>
      </c>
      <c r="E8" t="s">
        <v>267</v>
      </c>
      <c r="F8" s="10">
        <v>45689</v>
      </c>
      <c r="G8" s="10">
        <v>45731</v>
      </c>
      <c r="H8" s="14" t="s">
        <v>268</v>
      </c>
    </row>
    <row r="9" spans="1:8" x14ac:dyDescent="0.3">
      <c r="A9" t="s">
        <v>269</v>
      </c>
      <c r="B9" t="s">
        <v>154</v>
      </c>
      <c r="C9" t="s">
        <v>270</v>
      </c>
      <c r="D9" s="12" t="s">
        <v>36</v>
      </c>
      <c r="E9" t="s">
        <v>271</v>
      </c>
      <c r="F9" s="10">
        <v>45703</v>
      </c>
      <c r="G9" s="10">
        <v>45808</v>
      </c>
      <c r="H9" s="13" t="s">
        <v>261</v>
      </c>
    </row>
    <row r="10" spans="1:8" x14ac:dyDescent="0.3">
      <c r="A10" t="s">
        <v>272</v>
      </c>
      <c r="B10" t="s">
        <v>115</v>
      </c>
      <c r="C10" t="s">
        <v>274</v>
      </c>
      <c r="D10" s="12" t="s">
        <v>36</v>
      </c>
      <c r="E10" t="s">
        <v>213</v>
      </c>
      <c r="F10" s="10">
        <v>45717</v>
      </c>
      <c r="G10" s="10">
        <v>45838</v>
      </c>
      <c r="H10" s="15" t="s">
        <v>275</v>
      </c>
    </row>
    <row r="11" spans="1:8" x14ac:dyDescent="0.3">
      <c r="A11" t="s">
        <v>276</v>
      </c>
      <c r="B11" t="s">
        <v>277</v>
      </c>
      <c r="C11" t="s">
        <v>278</v>
      </c>
      <c r="D11" s="12" t="s">
        <v>36</v>
      </c>
      <c r="E11" t="s">
        <v>190</v>
      </c>
      <c r="F11" s="10">
        <v>45731</v>
      </c>
      <c r="G11" s="10">
        <v>45869</v>
      </c>
      <c r="H11" s="15" t="s">
        <v>275</v>
      </c>
    </row>
    <row r="12" spans="1:8" x14ac:dyDescent="0.3">
      <c r="A12" t="s">
        <v>279</v>
      </c>
      <c r="B12" t="s">
        <v>124</v>
      </c>
      <c r="C12" t="s">
        <v>280</v>
      </c>
      <c r="D12" s="13" t="s">
        <v>32</v>
      </c>
      <c r="E12" t="s">
        <v>267</v>
      </c>
      <c r="F12" s="10">
        <v>45748</v>
      </c>
      <c r="G12" s="10">
        <v>45838</v>
      </c>
      <c r="H12" s="15" t="s">
        <v>275</v>
      </c>
    </row>
    <row r="13" spans="1:8" x14ac:dyDescent="0.3">
      <c r="A13" t="s">
        <v>281</v>
      </c>
      <c r="B13" t="s">
        <v>282</v>
      </c>
      <c r="C13" t="s">
        <v>283</v>
      </c>
      <c r="D13" s="13" t="s">
        <v>32</v>
      </c>
      <c r="E13" t="s">
        <v>284</v>
      </c>
      <c r="F13" s="10">
        <v>45762</v>
      </c>
      <c r="G13" s="10">
        <v>45900</v>
      </c>
      <c r="H13" s="15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Company Profile</vt:lpstr>
      <vt:lpstr>Vendor Assessment</vt:lpstr>
      <vt:lpstr>Control Matrix IT</vt:lpstr>
      <vt:lpstr>Control Matrix OT</vt:lpstr>
      <vt:lpstr>Risk Register</vt:lpstr>
      <vt:lpstr>Policy Exception Log</vt:lpstr>
      <vt:lpstr>Remediation Roadmap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Ankrah</dc:creator>
  <cp:lastModifiedBy>Kristina Ankrah</cp:lastModifiedBy>
  <dcterms:created xsi:type="dcterms:W3CDTF">2026-06-04T14:58:50Z</dcterms:created>
  <dcterms:modified xsi:type="dcterms:W3CDTF">2026-06-05T02:24:49Z</dcterms:modified>
</cp:coreProperties>
</file>